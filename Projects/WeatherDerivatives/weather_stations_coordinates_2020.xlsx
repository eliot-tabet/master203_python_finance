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Stations 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49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0" fontId="5" fillId="4" borderId="2" pivotButton="0" quotePrefix="0" xfId="0"/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19" customWidth="1" min="3" max="3"/>
    <col width="18" customWidth="1" min="4" max="4"/>
    <col width="17" customWidth="1" min="5" max="5"/>
  </cols>
  <sheetData>
    <row r="1">
      <c r="A1" s="1" t="inlineStr">
        <is>
          <t>Météo-France Weather Station Coordinates &amp; 2020 Ratios</t>
        </is>
      </c>
    </row>
    <row r="2">
      <c r="A2" s="2" t="inlineStr">
        <is>
          <t>Summary of weather station codes, locations (lon/lat), and 2020 consumption ratios (%)</t>
        </is>
      </c>
    </row>
    <row r="3"/>
    <row r="4" ht="28" customHeight="1">
      <c r="A4" s="3" t="inlineStr">
        <is>
          <t>Weather Station Name</t>
        </is>
      </c>
      <c r="B4" s="4" t="inlineStr">
        <is>
          <t>Weather Station Code</t>
        </is>
      </c>
      <c r="C4" s="5" t="inlineStr">
        <is>
          <t>2020 Ratio (%)</t>
        </is>
      </c>
      <c r="D4" s="5" t="inlineStr">
        <is>
          <t>Longitude (°)</t>
        </is>
      </c>
      <c r="E4" s="5" t="inlineStr">
        <is>
          <t>Latitude (°)</t>
        </is>
      </c>
    </row>
    <row r="5">
      <c r="A5" s="6" t="inlineStr">
        <is>
          <t>LYON-BRON</t>
        </is>
      </c>
      <c r="B5" s="7" t="inlineStr">
        <is>
          <t>69029001</t>
        </is>
      </c>
      <c r="C5" s="8" t="n">
        <v>3.927591</v>
      </c>
      <c r="D5" s="8" t="n">
        <v>4.94917</v>
      </c>
      <c r="E5" s="8" t="n">
        <v>45.7214</v>
      </c>
    </row>
    <row r="6">
      <c r="A6" s="9" t="inlineStr">
        <is>
          <t>CHAMBERY-AIX</t>
        </is>
      </c>
      <c r="B6" s="10" t="inlineStr">
        <is>
          <t>73329001</t>
        </is>
      </c>
      <c r="C6" s="11" t="n">
        <v>1.459365</v>
      </c>
      <c r="D6" s="11" t="n">
        <v>5.87806</v>
      </c>
      <c r="E6" s="11" t="n">
        <v>45.6414</v>
      </c>
    </row>
    <row r="7">
      <c r="A7" s="6" t="inlineStr">
        <is>
          <t>GRENOBLE-ST-GEOIRS</t>
        </is>
      </c>
      <c r="B7" s="7" t="inlineStr">
        <is>
          <t>38384001</t>
        </is>
      </c>
      <c r="C7" s="8" t="n">
        <v>1.16006</v>
      </c>
      <c r="D7" s="8" t="n">
        <v>5.31333</v>
      </c>
      <c r="E7" s="8" t="n">
        <v>45.3639</v>
      </c>
    </row>
    <row r="8">
      <c r="A8" s="9" t="inlineStr">
        <is>
          <t>DIJON-LONGVIC</t>
        </is>
      </c>
      <c r="B8" s="10" t="inlineStr">
        <is>
          <t>21473001</t>
        </is>
      </c>
      <c r="C8" s="11" t="n">
        <v>1.700187</v>
      </c>
      <c r="D8" s="11" t="n">
        <v>5.08833</v>
      </c>
      <c r="E8" s="11" t="n">
        <v>47.2678</v>
      </c>
    </row>
    <row r="9">
      <c r="A9" s="6" t="inlineStr">
        <is>
          <t>LILLE-LESQUIN</t>
        </is>
      </c>
      <c r="B9" s="7" t="inlineStr">
        <is>
          <t>59343001</t>
        </is>
      </c>
      <c r="C9" s="8" t="n">
        <v>14.452899</v>
      </c>
      <c r="D9" s="8" t="n">
        <v>3.0975</v>
      </c>
      <c r="E9" s="8" t="n">
        <v>50.57</v>
      </c>
    </row>
    <row r="10">
      <c r="A10" s="9" t="inlineStr">
        <is>
          <t>REIMS-PRUNAY</t>
        </is>
      </c>
      <c r="B10" s="10" t="inlineStr">
        <is>
          <t>51449002</t>
        </is>
      </c>
      <c r="C10" s="11" t="n">
        <v>2.034578</v>
      </c>
      <c r="D10" s="11" t="n">
        <v>4.15528</v>
      </c>
      <c r="E10" s="11" t="n">
        <v>49.2097</v>
      </c>
    </row>
    <row r="11">
      <c r="A11" s="6" t="inlineStr">
        <is>
          <t>AUXERRE-PERRIGNY</t>
        </is>
      </c>
      <c r="B11" s="7" t="inlineStr">
        <is>
          <t>89295001</t>
        </is>
      </c>
      <c r="C11" s="8" t="n">
        <v>1.780153</v>
      </c>
      <c r="D11" s="8" t="n">
        <v>3.54972</v>
      </c>
      <c r="E11" s="8" t="n">
        <v>47.8247</v>
      </c>
    </row>
    <row r="12">
      <c r="A12" s="9" t="inlineStr">
        <is>
          <t>BOURGES</t>
        </is>
      </c>
      <c r="B12" s="10" t="inlineStr">
        <is>
          <t>18033001</t>
        </is>
      </c>
      <c r="C12" s="11" t="n">
        <v>1.227455</v>
      </c>
      <c r="D12" s="11" t="n">
        <v>2.35972</v>
      </c>
      <c r="E12" s="11" t="n">
        <v>47.0592</v>
      </c>
    </row>
    <row r="13">
      <c r="A13" s="6" t="inlineStr">
        <is>
          <t>CLERMONT-FERRAND</t>
        </is>
      </c>
      <c r="B13" s="7" t="inlineStr">
        <is>
          <t>63113001</t>
        </is>
      </c>
      <c r="C13" s="8" t="n">
        <v>1.305132</v>
      </c>
      <c r="D13" s="8" t="n">
        <v>3.14944</v>
      </c>
      <c r="E13" s="8" t="n">
        <v>45.7869</v>
      </c>
    </row>
    <row r="14">
      <c r="A14" s="9" t="inlineStr">
        <is>
          <t>MARIGNANE</t>
        </is>
      </c>
      <c r="B14" s="10" t="inlineStr">
        <is>
          <t>13054001</t>
        </is>
      </c>
      <c r="C14" s="11" t="n">
        <v>8.546447000000001</v>
      </c>
      <c r="D14" s="11" t="n">
        <v>5.21611</v>
      </c>
      <c r="E14" s="11" t="n">
        <v>43.4378</v>
      </c>
    </row>
    <row r="15">
      <c r="A15" s="6" t="inlineStr">
        <is>
          <t>NICE</t>
        </is>
      </c>
      <c r="B15" s="7" t="inlineStr">
        <is>
          <t>06088001</t>
        </is>
      </c>
      <c r="C15" s="8" t="n">
        <v>0.918385</v>
      </c>
      <c r="D15" s="8" t="n">
        <v>7.20889</v>
      </c>
      <c r="E15" s="8" t="n">
        <v>43.6489</v>
      </c>
    </row>
    <row r="16">
      <c r="A16" s="9" t="inlineStr">
        <is>
          <t>MONTELIMAR</t>
        </is>
      </c>
      <c r="B16" s="10" t="inlineStr">
        <is>
          <t>26198001</t>
        </is>
      </c>
      <c r="C16" s="11" t="n">
        <v>0.876748</v>
      </c>
      <c r="D16" s="11" t="n">
        <v>4.73306</v>
      </c>
      <c r="E16" s="11" t="n">
        <v>44.5811</v>
      </c>
    </row>
    <row r="17">
      <c r="A17" s="6" t="inlineStr">
        <is>
          <t>ST-ETIENNE-BOUTHEON</t>
        </is>
      </c>
      <c r="B17" s="7" t="inlineStr">
        <is>
          <t>42005001</t>
        </is>
      </c>
      <c r="C17" s="8" t="n">
        <v>1.533879</v>
      </c>
      <c r="D17" s="8" t="n">
        <v>4.29389</v>
      </c>
      <c r="E17" s="8" t="n">
        <v>45.5456</v>
      </c>
    </row>
    <row r="18">
      <c r="A18" s="9" t="inlineStr">
        <is>
          <t>TOULOUSE-BLAGNAC</t>
        </is>
      </c>
      <c r="B18" s="10" t="inlineStr">
        <is>
          <t>31069001</t>
        </is>
      </c>
      <c r="C18" s="11" t="n">
        <v>1.796176</v>
      </c>
      <c r="D18" s="11" t="n">
        <v>1.37889</v>
      </c>
      <c r="E18" s="11" t="n">
        <v>43.6211</v>
      </c>
    </row>
    <row r="19">
      <c r="A19" s="6" t="inlineStr">
        <is>
          <t>PAU-UZEIN</t>
        </is>
      </c>
      <c r="B19" s="7" t="inlineStr">
        <is>
          <t>64549001</t>
        </is>
      </c>
      <c r="C19" s="8" t="n">
        <v>1.029958</v>
      </c>
      <c r="D19" s="8" t="n">
        <v>-0.41639</v>
      </c>
      <c r="E19" s="8" t="n">
        <v>43.385</v>
      </c>
    </row>
    <row r="20">
      <c r="A20" s="9" t="inlineStr">
        <is>
          <t>PERPIGNAN</t>
        </is>
      </c>
      <c r="B20" s="10" t="inlineStr">
        <is>
          <t>66136001</t>
        </is>
      </c>
      <c r="C20" s="11" t="n">
        <v>0.326767</v>
      </c>
      <c r="D20" s="11" t="n">
        <v>2.87278</v>
      </c>
      <c r="E20" s="11" t="n">
        <v>42.7372</v>
      </c>
    </row>
    <row r="21">
      <c r="A21" s="6" t="inlineStr">
        <is>
          <t>AGEN</t>
        </is>
      </c>
      <c r="B21" s="7" t="inlineStr">
        <is>
          <t>47091001</t>
        </is>
      </c>
      <c r="C21" s="8" t="n">
        <v>1.370913</v>
      </c>
      <c r="D21" s="8" t="n">
        <v>0.59472</v>
      </c>
      <c r="E21" s="8" t="n">
        <v>44.1722</v>
      </c>
    </row>
    <row r="22">
      <c r="A22" s="9" t="inlineStr">
        <is>
          <t>DINARD-LE-PLEURTUIT</t>
        </is>
      </c>
      <c r="B22" s="10" t="inlineStr">
        <is>
          <t>35228001</t>
        </is>
      </c>
      <c r="C22" s="11" t="n">
        <v>3.877459</v>
      </c>
      <c r="D22" s="11" t="n">
        <v>-2.07639</v>
      </c>
      <c r="E22" s="11" t="n">
        <v>48.5847</v>
      </c>
    </row>
    <row r="23">
      <c r="A23" s="6" t="inlineStr">
        <is>
          <t>ROUEN-BOOS</t>
        </is>
      </c>
      <c r="B23" s="7" t="inlineStr">
        <is>
          <t>76116001</t>
        </is>
      </c>
      <c r="C23" s="8" t="n">
        <v>8.927348</v>
      </c>
      <c r="D23" s="8" t="n">
        <v>1.17833</v>
      </c>
      <c r="E23" s="8" t="n">
        <v>49.3894</v>
      </c>
    </row>
    <row r="24">
      <c r="A24" s="9" t="inlineStr">
        <is>
          <t>COGNAC</t>
        </is>
      </c>
      <c r="B24" s="10" t="inlineStr">
        <is>
          <t>16089001</t>
        </is>
      </c>
      <c r="C24" s="11" t="n">
        <v>1.838196</v>
      </c>
      <c r="D24" s="11" t="n">
        <v>-0.31583</v>
      </c>
      <c r="E24" s="11" t="n">
        <v>45.665</v>
      </c>
    </row>
    <row r="25">
      <c r="A25" s="6" t="inlineStr">
        <is>
          <t>LUXEUIL</t>
        </is>
      </c>
      <c r="B25" s="7" t="inlineStr">
        <is>
          <t>70473001</t>
        </is>
      </c>
      <c r="C25" s="8" t="n">
        <v>0.70428</v>
      </c>
      <c r="D25" s="8" t="n">
        <v>6.36389</v>
      </c>
      <c r="E25" s="8" t="n">
        <v>47.7869</v>
      </c>
    </row>
    <row r="26">
      <c r="A26" s="9" t="inlineStr">
        <is>
          <t>BESANCON</t>
        </is>
      </c>
      <c r="B26" s="10" t="inlineStr">
        <is>
          <t>25056001</t>
        </is>
      </c>
      <c r="C26" s="11" t="n">
        <v>0.471286</v>
      </c>
      <c r="D26" s="11" t="n">
        <v>5.98889</v>
      </c>
      <c r="E26" s="11" t="n">
        <v>47.2489</v>
      </c>
    </row>
    <row r="27">
      <c r="A27" s="6" t="inlineStr">
        <is>
          <t>CHARTRES</t>
        </is>
      </c>
      <c r="B27" s="7" t="inlineStr">
        <is>
          <t>28070001</t>
        </is>
      </c>
      <c r="C27" s="8" t="n">
        <v>0.175053</v>
      </c>
      <c r="D27" s="8" t="n">
        <v>1.50111</v>
      </c>
      <c r="E27" s="8" t="n">
        <v>48.4606</v>
      </c>
    </row>
    <row r="28">
      <c r="A28" s="9" t="inlineStr">
        <is>
          <t>BREST-GUIPAVAS</t>
        </is>
      </c>
      <c r="B28" s="10" t="inlineStr">
        <is>
          <t>29075001</t>
        </is>
      </c>
      <c r="C28" s="11" t="n">
        <v>1.034335</v>
      </c>
      <c r="D28" s="11" t="n">
        <v>-4.38333</v>
      </c>
      <c r="E28" s="11" t="n">
        <v>48.45</v>
      </c>
    </row>
    <row r="29">
      <c r="A29" s="6" t="inlineStr">
        <is>
          <t>NIMES-COURBESSAC</t>
        </is>
      </c>
      <c r="B29" s="7" t="inlineStr">
        <is>
          <t>30189001</t>
        </is>
      </c>
      <c r="C29" s="8" t="n">
        <v>1.162473</v>
      </c>
      <c r="D29" s="8" t="n">
        <v>4.40639</v>
      </c>
      <c r="E29" s="8" t="n">
        <v>43.8569</v>
      </c>
    </row>
    <row r="30">
      <c r="A30" s="9" t="inlineStr">
        <is>
          <t>BORDEAUX-MERIGNAC</t>
        </is>
      </c>
      <c r="B30" s="10" t="inlineStr">
        <is>
          <t>33281001</t>
        </is>
      </c>
      <c r="C30" s="11" t="n">
        <v>1.746703</v>
      </c>
      <c r="D30" s="11" t="n">
        <v>-0.6913899999999999</v>
      </c>
      <c r="E30" s="11" t="n">
        <v>44.8306</v>
      </c>
    </row>
    <row r="31">
      <c r="A31" s="6" t="inlineStr">
        <is>
          <t>TOURS</t>
        </is>
      </c>
      <c r="B31" s="7" t="inlineStr">
        <is>
          <t>37179001</t>
        </is>
      </c>
      <c r="C31" s="8" t="n">
        <v>2.940363</v>
      </c>
      <c r="D31" s="8" t="n">
        <v>0.72722</v>
      </c>
      <c r="E31" s="8" t="n">
        <v>47.4444</v>
      </c>
    </row>
    <row r="32">
      <c r="A32" s="9" t="inlineStr">
        <is>
          <t>BIARRITZ-ANGLET</t>
        </is>
      </c>
      <c r="B32" s="10" t="inlineStr">
        <is>
          <t>64024001</t>
        </is>
      </c>
      <c r="C32" s="11" t="n">
        <v>0.403935</v>
      </c>
      <c r="D32" s="11" t="n">
        <v>-1.53444</v>
      </c>
      <c r="E32" s="11" t="n">
        <v>43.4694</v>
      </c>
    </row>
    <row r="33">
      <c r="A33" s="6" t="inlineStr">
        <is>
          <t>NANTES-BOUGUENAIS</t>
        </is>
      </c>
      <c r="B33" s="7" t="inlineStr">
        <is>
          <t>44020001</t>
        </is>
      </c>
      <c r="C33" s="8" t="n">
        <v>3.672725</v>
      </c>
      <c r="D33" s="8" t="n">
        <v>-1.60889</v>
      </c>
      <c r="E33" s="8" t="n">
        <v>47.15</v>
      </c>
    </row>
    <row r="34">
      <c r="A34" s="9" t="inlineStr">
        <is>
          <t>METZ-FRESCATY</t>
        </is>
      </c>
      <c r="B34" s="10" t="inlineStr">
        <is>
          <t>57039001</t>
        </is>
      </c>
      <c r="C34" s="11" t="n">
        <v>7.821168</v>
      </c>
      <c r="D34" s="11" t="n">
        <v>6.12528</v>
      </c>
      <c r="E34" s="11" t="n">
        <v>49.0694</v>
      </c>
    </row>
    <row r="35">
      <c r="A35" s="6" t="inlineStr">
        <is>
          <t>PARIS-MONTSOURIS</t>
        </is>
      </c>
      <c r="B35" s="7" t="inlineStr">
        <is>
          <t>75114001</t>
        </is>
      </c>
      <c r="C35" s="8" t="n">
        <v>14.582307</v>
      </c>
      <c r="D35" s="8" t="n">
        <v>2.33778</v>
      </c>
      <c r="E35" s="8" t="n">
        <v>48.8217</v>
      </c>
    </row>
    <row r="36">
      <c r="A36" s="9" t="inlineStr">
        <is>
          <t>ENTZHEIM</t>
        </is>
      </c>
      <c r="B36" s="10" t="inlineStr">
        <is>
          <t>67124001</t>
        </is>
      </c>
      <c r="C36" s="11" t="n">
        <v>1.255016</v>
      </c>
      <c r="D36" s="11" t="n">
        <v>7.64028</v>
      </c>
      <c r="E36" s="11" t="n">
        <v>48.5494</v>
      </c>
    </row>
    <row r="37">
      <c r="A37" s="6" t="inlineStr">
        <is>
          <t>BALE-MULHOUSE</t>
        </is>
      </c>
      <c r="B37" s="7" t="inlineStr">
        <is>
          <t>68297001</t>
        </is>
      </c>
      <c r="C37" s="8" t="n">
        <v>3.669533</v>
      </c>
      <c r="D37" s="8" t="n">
        <v>7.51</v>
      </c>
      <c r="E37" s="8" t="n">
        <v>47.6144</v>
      </c>
    </row>
    <row r="38">
      <c r="A38" s="9" t="inlineStr">
        <is>
          <t>COLMAR-MEYENHEIM</t>
        </is>
      </c>
      <c r="B38" s="10" t="inlineStr">
        <is>
          <t>68205001</t>
        </is>
      </c>
      <c r="C38" s="11" t="n">
        <v>0.250471</v>
      </c>
      <c r="D38" s="11" t="n">
        <v>7.40778</v>
      </c>
      <c r="E38" s="11" t="n">
        <v>47.9286</v>
      </c>
    </row>
    <row r="39">
      <c r="A39" s="6" t="inlineStr">
        <is>
          <t>BONNEVILLE</t>
        </is>
      </c>
      <c r="B39" s="7" t="inlineStr">
        <is>
          <t>74042003</t>
        </is>
      </c>
      <c r="C39" s="8" t="n">
        <v>0.020658</v>
      </c>
      <c r="D39" s="8" t="n">
        <v>6.39972</v>
      </c>
      <c r="E39" s="8" t="n">
        <v>46.0686</v>
      </c>
    </row>
    <row r="40">
      <c r="A40" s="12" t="inlineStr">
        <is>
          <t>Total</t>
        </is>
      </c>
      <c r="B40" s="13" t="n"/>
      <c r="C40" s="14">
        <f>SUM(C5:C39)</f>
        <v/>
      </c>
      <c r="D40" s="13" t="n"/>
      <c r="E40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2026-10-22T13:24:07Z</dcterms:created>
  <dcterms:modified xmlns:dcterms="http://purl.org/dc/terms/" xmlns:xsi="http://www.w3.org/2001/XMLSchema-instance" xsi:type="dcterms:W3CDTF">2026-10-22T13:24:07Z</dcterms:modified>
</cp:coreProperties>
</file>